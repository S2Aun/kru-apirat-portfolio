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 notebook\ข้อมูลดิบทำ web pa\"/>
    </mc:Choice>
  </mc:AlternateContent>
  <xr:revisionPtr revIDLastSave="0" documentId="13_ncr:1_{383DD7E2-095D-449C-AE09-4D8804784E2D}" xr6:coauthVersionLast="47" xr6:coauthVersionMax="47" xr10:uidLastSave="{00000000-0000-0000-0000-000000000000}"/>
  <bookViews>
    <workbookView xWindow="-108" yWindow="-108" windowWidth="23256" windowHeight="12456" xr2:uid="{2302D1F0-26C8-4E83-B2BE-E96BDE056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F63" i="1"/>
  <c r="E63" i="1"/>
  <c r="D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E29" i="1"/>
  <c r="F29" i="1"/>
  <c r="D29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5" i="1"/>
  <c r="G32" i="1" s="1"/>
  <c r="G63" i="1" l="1"/>
  <c r="G30" i="1"/>
  <c r="G31" i="1"/>
</calcChain>
</file>

<file path=xl/sharedStrings.xml><?xml version="1.0" encoding="utf-8"?>
<sst xmlns="http://schemas.openxmlformats.org/spreadsheetml/2006/main" count="122" uniqueCount="64">
  <si>
    <t>แบบบันทึกคะแนน</t>
  </si>
  <si>
    <t>ที่</t>
  </si>
  <si>
    <t>ชื่อ – สกุล</t>
  </si>
  <si>
    <t>ความคิดสร้างสรรค์ (3)</t>
  </si>
  <si>
    <t>ความสวยงาม (3)</t>
  </si>
  <si>
    <t>ความสมบูรณ์(3)</t>
  </si>
  <si>
    <t>คะแนนรวม (9)</t>
  </si>
  <si>
    <t>ข้อเสนอแนะ</t>
  </si>
  <si>
    <t>นักเรียนที่ได้ระดับดีมาก (8-9)</t>
  </si>
  <si>
    <t>นักเรียนที่ได้ระดับดี (6-7)</t>
  </si>
  <si>
    <t>นักเรียนที่ต้องปรับปรุง (ต่ำกว่า 6)</t>
  </si>
  <si>
    <t>ผู้ประเมิน: ....นายอภิรัตน์..เสาวภาคย์รัตนชาติ...............</t>
  </si>
  <si>
    <t>เด็กหญิงกุลณดา</t>
  </si>
  <si>
    <t>แสงก๋อง</t>
  </si>
  <si>
    <t>เด็กหญิงชลนิภา</t>
  </si>
  <si>
    <t>ดอกไม้จีน</t>
  </si>
  <si>
    <t>เด็กหญิงเดือน</t>
  </si>
  <si>
    <t>คำผิว</t>
  </si>
  <si>
    <t>เด็กชายนฤเบศร์</t>
  </si>
  <si>
    <t>ภักดีแพง</t>
  </si>
  <si>
    <t>เด็กหญิงปิ้ว</t>
  </si>
  <si>
    <t>ตาสามเวียง</t>
  </si>
  <si>
    <t>เด็กชายภูริช</t>
  </si>
  <si>
    <t>-</t>
  </si>
  <si>
    <t>เด็กหญิงสิริขวัญ</t>
  </si>
  <si>
    <t>บัวผัน</t>
  </si>
  <si>
    <t>เด็กหญิงสุชาดา</t>
  </si>
  <si>
    <t>เด็กชายหนึ่ง</t>
  </si>
  <si>
    <t>เด็กชายกฤษฎาพร</t>
  </si>
  <si>
    <t>ปิยะวงษ์</t>
  </si>
  <si>
    <t>เด็กหญิงอนุสรา</t>
  </si>
  <si>
    <t>สาบ</t>
  </si>
  <si>
    <t>เด็กชายอธิวรา</t>
  </si>
  <si>
    <t>วงษ์เวียง</t>
  </si>
  <si>
    <t>เด็กหญิงอรกนกวรรณ</t>
  </si>
  <si>
    <t>ไทยออน</t>
  </si>
  <si>
    <t>เด็กชายณัฐภูมิ</t>
  </si>
  <si>
    <t>ทรัพย์อุทัย</t>
  </si>
  <si>
    <t>เด็กชายนทีธร</t>
  </si>
  <si>
    <t>ศรีสูงเนิน</t>
  </si>
  <si>
    <t>เด็กชายวัณณุวรรธน์</t>
  </si>
  <si>
    <t>จันทรา</t>
  </si>
  <si>
    <t>เด็กหญิงรุ่งตะวัน</t>
  </si>
  <si>
    <t>ปลอดทองจันทร์</t>
  </si>
  <si>
    <t>เด็กหญิงเซย</t>
  </si>
  <si>
    <t>วาล</t>
  </si>
  <si>
    <t>เด็กชายตาล</t>
  </si>
  <si>
    <t>ปาน</t>
  </si>
  <si>
    <t>เด็กชายเจมจิ</t>
  </si>
  <si>
    <t>เด็กชายคำอู</t>
  </si>
  <si>
    <t>เด็กชายอภิสิทธิ์</t>
  </si>
  <si>
    <t>หวังคู่กลาง</t>
  </si>
  <si>
    <t>เด็กหญิงศิรินทรา</t>
  </si>
  <si>
    <t>ลื่นกลาง</t>
  </si>
  <si>
    <t>เด็กชายณัฏฐ์รชัย</t>
  </si>
  <si>
    <t>กลิ่นจันทร์</t>
  </si>
  <si>
    <t>สรุปผลคะแนนเฉลี่ยร้อยละ</t>
  </si>
  <si>
    <t>คน</t>
  </si>
  <si>
    <t>ตารางบันทึกการสังเกตพฤติกรรม</t>
  </si>
  <si>
    <t>1. การตอบคำถามฯ (3)</t>
  </si>
  <si>
    <t>2. การทำงานกลุ่ม (3)</t>
  </si>
  <si>
    <t>3. ความสนใจฯ (3)</t>
  </si>
  <si>
    <t>หมายเหตุ</t>
  </si>
  <si>
    <t>รายวิชา: ..ประวัติศาสตร์............................................. ภาคเรียนที่: .......2.......... ปีการศึกษา: ....2568.......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</si>
</sst>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0"/>
      <color theme="1"/>
      <name val="TH SarabunPSK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CD00-D7FF-4A16-B44B-06930B3D78AD}">
  <dimension ref="A1:H67"/>
  <sheetViews>
    <sheetView tabSelected="1" topLeftCell="A21" workbookViewId="0">
      <selection activeCell="G30" sqref="G30"/>
    </sheetView>
  </sheetViews>
  <sheetFormatPr defaultRowHeight="13.8" x14ac:dyDescent="0.25"/>
  <cols>
    <col min="1" max="1" width="6.3984375" customWidth="1"/>
    <col min="2" max="2" width="18.09765625" bestFit="1" customWidth="1"/>
    <col min="3" max="3" width="13.8984375" bestFit="1" customWidth="1"/>
    <col min="4" max="7" width="9.19921875" customWidth="1"/>
    <col min="8" max="8" width="8.8984375" customWidth="1"/>
  </cols>
  <sheetData>
    <row r="1" spans="1:8" ht="21" x14ac:dyDescent="0.25">
      <c r="A1" s="13" t="s">
        <v>0</v>
      </c>
      <c r="B1" s="13"/>
      <c r="C1" s="13"/>
      <c r="D1" s="13"/>
      <c r="E1" s="13"/>
      <c r="F1" s="13"/>
      <c r="G1" s="13"/>
      <c r="H1" s="13"/>
    </row>
    <row r="2" spans="1:8" ht="21" x14ac:dyDescent="0.25">
      <c r="A2" s="1" t="s">
        <v>63</v>
      </c>
    </row>
    <row r="3" spans="1:8" ht="21.6" thickBot="1" x14ac:dyDescent="0.3">
      <c r="A3" s="1" t="s">
        <v>11</v>
      </c>
    </row>
    <row r="4" spans="1:8" ht="28.2" customHeight="1" thickBot="1" x14ac:dyDescent="0.3">
      <c r="A4" s="2" t="s">
        <v>1</v>
      </c>
      <c r="B4" s="14" t="s">
        <v>2</v>
      </c>
      <c r="C4" s="16"/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1:8" ht="21.6" thickBot="1" x14ac:dyDescent="0.3">
      <c r="A5" s="4">
        <v>1</v>
      </c>
      <c r="B5" s="6" t="s">
        <v>12</v>
      </c>
      <c r="C5" s="7" t="s">
        <v>13</v>
      </c>
      <c r="D5" s="9">
        <v>3</v>
      </c>
      <c r="E5" s="9">
        <v>3</v>
      </c>
      <c r="F5" s="9">
        <v>3</v>
      </c>
      <c r="G5" s="9">
        <f>SUM(D5:F5)</f>
        <v>9</v>
      </c>
      <c r="H5" s="5"/>
    </row>
    <row r="6" spans="1:8" ht="21.6" thickBot="1" x14ac:dyDescent="0.3">
      <c r="A6" s="4">
        <v>2</v>
      </c>
      <c r="B6" s="6" t="s">
        <v>14</v>
      </c>
      <c r="C6" s="7" t="s">
        <v>15</v>
      </c>
      <c r="D6" s="9">
        <v>3</v>
      </c>
      <c r="E6" s="9">
        <v>2</v>
      </c>
      <c r="F6" s="9">
        <v>3</v>
      </c>
      <c r="G6" s="9">
        <f t="shared" ref="G6:G28" si="0">SUM(D6:F6)</f>
        <v>8</v>
      </c>
      <c r="H6" s="5"/>
    </row>
    <row r="7" spans="1:8" ht="21.6" thickBot="1" x14ac:dyDescent="0.3">
      <c r="A7" s="4">
        <v>3</v>
      </c>
      <c r="B7" s="6" t="s">
        <v>16</v>
      </c>
      <c r="C7" s="7" t="s">
        <v>17</v>
      </c>
      <c r="D7" s="9">
        <v>2</v>
      </c>
      <c r="E7" s="9">
        <v>2</v>
      </c>
      <c r="F7" s="9">
        <v>3</v>
      </c>
      <c r="G7" s="9">
        <f t="shared" si="0"/>
        <v>7</v>
      </c>
      <c r="H7" s="5"/>
    </row>
    <row r="8" spans="1:8" ht="21.6" thickBot="1" x14ac:dyDescent="0.3">
      <c r="A8" s="4">
        <v>4</v>
      </c>
      <c r="B8" s="6" t="s">
        <v>18</v>
      </c>
      <c r="C8" s="7" t="s">
        <v>19</v>
      </c>
      <c r="D8" s="9">
        <v>2</v>
      </c>
      <c r="E8" s="9">
        <v>2</v>
      </c>
      <c r="F8" s="9">
        <v>3</v>
      </c>
      <c r="G8" s="9">
        <f t="shared" si="0"/>
        <v>7</v>
      </c>
      <c r="H8" s="5"/>
    </row>
    <row r="9" spans="1:8" ht="21.6" thickBot="1" x14ac:dyDescent="0.3">
      <c r="A9" s="4">
        <v>5</v>
      </c>
      <c r="B9" s="6" t="s">
        <v>20</v>
      </c>
      <c r="C9" s="7" t="s">
        <v>21</v>
      </c>
      <c r="D9" s="9">
        <v>2</v>
      </c>
      <c r="E9" s="9">
        <v>2</v>
      </c>
      <c r="F9" s="9">
        <v>3</v>
      </c>
      <c r="G9" s="9">
        <f t="shared" si="0"/>
        <v>7</v>
      </c>
      <c r="H9" s="5"/>
    </row>
    <row r="10" spans="1:8" ht="21.6" thickBot="1" x14ac:dyDescent="0.3">
      <c r="A10" s="4">
        <v>6</v>
      </c>
      <c r="B10" s="6" t="s">
        <v>22</v>
      </c>
      <c r="C10" s="7" t="s">
        <v>23</v>
      </c>
      <c r="D10" s="9">
        <v>3</v>
      </c>
      <c r="E10" s="9">
        <v>2</v>
      </c>
      <c r="F10" s="9">
        <v>2</v>
      </c>
      <c r="G10" s="9">
        <f t="shared" si="0"/>
        <v>7</v>
      </c>
      <c r="H10" s="5"/>
    </row>
    <row r="11" spans="1:8" ht="21.6" thickBot="1" x14ac:dyDescent="0.3">
      <c r="A11" s="4">
        <v>7</v>
      </c>
      <c r="B11" s="6" t="s">
        <v>24</v>
      </c>
      <c r="C11" s="7" t="s">
        <v>25</v>
      </c>
      <c r="D11" s="9">
        <v>2</v>
      </c>
      <c r="E11" s="9">
        <v>3</v>
      </c>
      <c r="F11" s="9">
        <v>3</v>
      </c>
      <c r="G11" s="9">
        <f t="shared" si="0"/>
        <v>8</v>
      </c>
      <c r="H11" s="5"/>
    </row>
    <row r="12" spans="1:8" ht="21.6" thickBot="1" x14ac:dyDescent="0.3">
      <c r="A12" s="4">
        <v>8</v>
      </c>
      <c r="B12" s="6" t="s">
        <v>26</v>
      </c>
      <c r="C12" s="7" t="s">
        <v>23</v>
      </c>
      <c r="D12" s="9">
        <v>2</v>
      </c>
      <c r="E12" s="9">
        <v>2</v>
      </c>
      <c r="F12" s="9">
        <v>3</v>
      </c>
      <c r="G12" s="9">
        <f t="shared" si="0"/>
        <v>7</v>
      </c>
      <c r="H12" s="5"/>
    </row>
    <row r="13" spans="1:8" ht="21.6" thickBot="1" x14ac:dyDescent="0.3">
      <c r="A13" s="4">
        <v>9</v>
      </c>
      <c r="B13" s="6" t="s">
        <v>27</v>
      </c>
      <c r="C13" s="7" t="s">
        <v>23</v>
      </c>
      <c r="D13" s="9">
        <v>3</v>
      </c>
      <c r="E13" s="9">
        <v>2</v>
      </c>
      <c r="F13" s="9">
        <v>3</v>
      </c>
      <c r="G13" s="9">
        <f t="shared" si="0"/>
        <v>8</v>
      </c>
      <c r="H13" s="5"/>
    </row>
    <row r="14" spans="1:8" ht="21.6" thickBot="1" x14ac:dyDescent="0.3">
      <c r="A14" s="4">
        <v>10</v>
      </c>
      <c r="B14" s="6" t="s">
        <v>28</v>
      </c>
      <c r="C14" s="7" t="s">
        <v>29</v>
      </c>
      <c r="D14" s="9">
        <v>3</v>
      </c>
      <c r="E14" s="9">
        <v>2</v>
      </c>
      <c r="F14" s="9">
        <v>2</v>
      </c>
      <c r="G14" s="9">
        <f t="shared" si="0"/>
        <v>7</v>
      </c>
      <c r="H14" s="5"/>
    </row>
    <row r="15" spans="1:8" ht="21.6" thickBot="1" x14ac:dyDescent="0.3">
      <c r="A15" s="4">
        <v>11</v>
      </c>
      <c r="B15" s="6" t="s">
        <v>30</v>
      </c>
      <c r="C15" s="7" t="s">
        <v>31</v>
      </c>
      <c r="D15" s="9">
        <v>2</v>
      </c>
      <c r="E15" s="9">
        <v>2</v>
      </c>
      <c r="F15" s="9">
        <v>2</v>
      </c>
      <c r="G15" s="9">
        <f t="shared" si="0"/>
        <v>6</v>
      </c>
      <c r="H15" s="5"/>
    </row>
    <row r="16" spans="1:8" ht="21.6" thickBot="1" x14ac:dyDescent="0.3">
      <c r="A16" s="4">
        <v>12</v>
      </c>
      <c r="B16" s="6" t="s">
        <v>32</v>
      </c>
      <c r="C16" s="7" t="s">
        <v>33</v>
      </c>
      <c r="D16" s="9">
        <v>2</v>
      </c>
      <c r="E16" s="9">
        <v>2</v>
      </c>
      <c r="F16" s="9">
        <v>2</v>
      </c>
      <c r="G16" s="9">
        <f t="shared" si="0"/>
        <v>6</v>
      </c>
      <c r="H16" s="5"/>
    </row>
    <row r="17" spans="1:8" ht="21.6" thickBot="1" x14ac:dyDescent="0.3">
      <c r="A17" s="4">
        <v>13</v>
      </c>
      <c r="B17" s="6" t="s">
        <v>34</v>
      </c>
      <c r="C17" s="7" t="s">
        <v>35</v>
      </c>
      <c r="D17" s="9">
        <v>3</v>
      </c>
      <c r="E17" s="9">
        <v>2</v>
      </c>
      <c r="F17" s="9">
        <v>3</v>
      </c>
      <c r="G17" s="9">
        <f t="shared" si="0"/>
        <v>8</v>
      </c>
      <c r="H17" s="5"/>
    </row>
    <row r="18" spans="1:8" ht="21.6" thickBot="1" x14ac:dyDescent="0.3">
      <c r="A18" s="4">
        <v>14</v>
      </c>
      <c r="B18" s="6" t="s">
        <v>36</v>
      </c>
      <c r="C18" s="7" t="s">
        <v>37</v>
      </c>
      <c r="D18" s="9">
        <v>2</v>
      </c>
      <c r="E18" s="9">
        <v>2</v>
      </c>
      <c r="F18" s="9">
        <v>2</v>
      </c>
      <c r="G18" s="9">
        <f t="shared" si="0"/>
        <v>6</v>
      </c>
      <c r="H18" s="5"/>
    </row>
    <row r="19" spans="1:8" ht="21.6" thickBot="1" x14ac:dyDescent="0.3">
      <c r="A19" s="4">
        <v>15</v>
      </c>
      <c r="B19" s="6" t="s">
        <v>38</v>
      </c>
      <c r="C19" s="7" t="s">
        <v>39</v>
      </c>
      <c r="D19" s="9">
        <v>2</v>
      </c>
      <c r="E19" s="9">
        <v>2</v>
      </c>
      <c r="F19" s="9">
        <v>3</v>
      </c>
      <c r="G19" s="9">
        <f t="shared" si="0"/>
        <v>7</v>
      </c>
      <c r="H19" s="5"/>
    </row>
    <row r="20" spans="1:8" ht="21.6" thickBot="1" x14ac:dyDescent="0.3">
      <c r="A20" s="4">
        <v>16</v>
      </c>
      <c r="B20" s="6" t="s">
        <v>40</v>
      </c>
      <c r="C20" s="7" t="s">
        <v>41</v>
      </c>
      <c r="D20" s="9">
        <v>2</v>
      </c>
      <c r="E20" s="9">
        <v>2</v>
      </c>
      <c r="F20" s="9">
        <v>3</v>
      </c>
      <c r="G20" s="9">
        <f t="shared" si="0"/>
        <v>7</v>
      </c>
      <c r="H20" s="5"/>
    </row>
    <row r="21" spans="1:8" ht="21.6" thickBot="1" x14ac:dyDescent="0.3">
      <c r="A21" s="4">
        <v>17</v>
      </c>
      <c r="B21" s="6" t="s">
        <v>42</v>
      </c>
      <c r="C21" s="7" t="s">
        <v>43</v>
      </c>
      <c r="D21" s="9">
        <v>3</v>
      </c>
      <c r="E21" s="9">
        <v>3</v>
      </c>
      <c r="F21" s="9">
        <v>3</v>
      </c>
      <c r="G21" s="9">
        <f t="shared" si="0"/>
        <v>9</v>
      </c>
      <c r="H21" s="5"/>
    </row>
    <row r="22" spans="1:8" ht="21.6" thickBot="1" x14ac:dyDescent="0.3">
      <c r="A22" s="4">
        <v>18</v>
      </c>
      <c r="B22" s="6" t="s">
        <v>44</v>
      </c>
      <c r="C22" s="7" t="s">
        <v>45</v>
      </c>
      <c r="D22" s="9">
        <v>3</v>
      </c>
      <c r="E22" s="9">
        <v>3</v>
      </c>
      <c r="F22" s="9">
        <v>3</v>
      </c>
      <c r="G22" s="9">
        <f t="shared" si="0"/>
        <v>9</v>
      </c>
      <c r="H22" s="5"/>
    </row>
    <row r="23" spans="1:8" ht="21.6" thickBot="1" x14ac:dyDescent="0.3">
      <c r="A23" s="4">
        <v>19</v>
      </c>
      <c r="B23" s="6" t="s">
        <v>46</v>
      </c>
      <c r="C23" s="7" t="s">
        <v>47</v>
      </c>
      <c r="D23" s="9">
        <v>3</v>
      </c>
      <c r="E23" s="9">
        <v>3</v>
      </c>
      <c r="F23" s="9">
        <v>3</v>
      </c>
      <c r="G23" s="9">
        <f t="shared" si="0"/>
        <v>9</v>
      </c>
      <c r="H23" s="5"/>
    </row>
    <row r="24" spans="1:8" ht="21.6" thickBot="1" x14ac:dyDescent="0.3">
      <c r="A24" s="4">
        <v>20</v>
      </c>
      <c r="B24" s="6" t="s">
        <v>48</v>
      </c>
      <c r="C24" s="7" t="s">
        <v>23</v>
      </c>
      <c r="D24" s="9">
        <v>2</v>
      </c>
      <c r="E24" s="9">
        <v>2</v>
      </c>
      <c r="F24" s="9">
        <v>3</v>
      </c>
      <c r="G24" s="9">
        <f t="shared" si="0"/>
        <v>7</v>
      </c>
      <c r="H24" s="5"/>
    </row>
    <row r="25" spans="1:8" ht="21.6" thickBot="1" x14ac:dyDescent="0.3">
      <c r="A25" s="4">
        <v>21</v>
      </c>
      <c r="B25" s="6" t="s">
        <v>49</v>
      </c>
      <c r="C25" s="7"/>
      <c r="D25" s="9">
        <v>2</v>
      </c>
      <c r="E25" s="9">
        <v>2</v>
      </c>
      <c r="F25" s="9">
        <v>2</v>
      </c>
      <c r="G25" s="9">
        <f t="shared" si="0"/>
        <v>6</v>
      </c>
      <c r="H25" s="5"/>
    </row>
    <row r="26" spans="1:8" ht="21.6" thickBot="1" x14ac:dyDescent="0.3">
      <c r="A26" s="4">
        <v>22</v>
      </c>
      <c r="B26" s="6" t="s">
        <v>50</v>
      </c>
      <c r="C26" s="7" t="s">
        <v>51</v>
      </c>
      <c r="D26" s="9">
        <v>2</v>
      </c>
      <c r="E26" s="9">
        <v>2</v>
      </c>
      <c r="F26" s="9">
        <v>2</v>
      </c>
      <c r="G26" s="9">
        <f t="shared" si="0"/>
        <v>6</v>
      </c>
      <c r="H26" s="5"/>
    </row>
    <row r="27" spans="1:8" ht="21.6" thickBot="1" x14ac:dyDescent="0.3">
      <c r="A27" s="4">
        <v>23</v>
      </c>
      <c r="B27" s="6" t="s">
        <v>52</v>
      </c>
      <c r="C27" s="7" t="s">
        <v>53</v>
      </c>
      <c r="D27" s="9">
        <v>3</v>
      </c>
      <c r="E27" s="9">
        <v>2</v>
      </c>
      <c r="F27" s="9">
        <v>3</v>
      </c>
      <c r="G27" s="9">
        <f t="shared" si="0"/>
        <v>8</v>
      </c>
      <c r="H27" s="5"/>
    </row>
    <row r="28" spans="1:8" ht="21.6" thickBot="1" x14ac:dyDescent="0.3">
      <c r="A28" s="4">
        <v>24</v>
      </c>
      <c r="B28" s="6" t="s">
        <v>54</v>
      </c>
      <c r="C28" s="7" t="s">
        <v>55</v>
      </c>
      <c r="D28" s="9">
        <v>2</v>
      </c>
      <c r="E28" s="9">
        <v>2</v>
      </c>
      <c r="F28" s="9">
        <v>3</v>
      </c>
      <c r="G28" s="9">
        <f t="shared" si="0"/>
        <v>7</v>
      </c>
      <c r="H28" s="5"/>
    </row>
    <row r="29" spans="1:8" ht="21.6" customHeight="1" thickBot="1" x14ac:dyDescent="0.3">
      <c r="A29" s="14" t="s">
        <v>56</v>
      </c>
      <c r="B29" s="15"/>
      <c r="C29" s="16"/>
      <c r="D29" s="10">
        <f>AVERAGE(D5:D28)*100/3</f>
        <v>80.555555555555557</v>
      </c>
      <c r="E29" s="10">
        <f t="shared" ref="E29:F29" si="1">AVERAGE(E5:E28)*100/3</f>
        <v>73.611111111111114</v>
      </c>
      <c r="F29" s="10">
        <f t="shared" si="1"/>
        <v>90.277777777777786</v>
      </c>
      <c r="G29" s="10">
        <f>AVERAGE(G5:G28)*100/9</f>
        <v>81.481481481481467</v>
      </c>
      <c r="H29" s="5"/>
    </row>
    <row r="30" spans="1:8" ht="21.6" thickBot="1" x14ac:dyDescent="0.3">
      <c r="A30" s="17" t="s">
        <v>8</v>
      </c>
      <c r="B30" s="18"/>
      <c r="C30" s="18"/>
      <c r="D30" s="18"/>
      <c r="E30" s="18"/>
      <c r="F30" s="19"/>
      <c r="G30" s="6">
        <f>COUNTIFS(G5:G28,9)+COUNTIFS(G5:G28,8)</f>
        <v>9</v>
      </c>
      <c r="H30" s="8" t="s">
        <v>57</v>
      </c>
    </row>
    <row r="31" spans="1:8" ht="21.6" thickBot="1" x14ac:dyDescent="0.3">
      <c r="A31" s="17" t="s">
        <v>9</v>
      </c>
      <c r="B31" s="18"/>
      <c r="C31" s="18"/>
      <c r="D31" s="18"/>
      <c r="E31" s="18"/>
      <c r="F31" s="19"/>
      <c r="G31" s="6">
        <f>COUNTIFS(G5:G28,7)+COUNTIFS(G5:G28,6)</f>
        <v>15</v>
      </c>
      <c r="H31" s="8" t="s">
        <v>57</v>
      </c>
    </row>
    <row r="32" spans="1:8" ht="21.6" thickBot="1" x14ac:dyDescent="0.3">
      <c r="A32" s="17" t="s">
        <v>10</v>
      </c>
      <c r="B32" s="18"/>
      <c r="C32" s="18"/>
      <c r="D32" s="18"/>
      <c r="E32" s="18"/>
      <c r="F32" s="19"/>
      <c r="G32" s="6">
        <f>COUNTIFS(G5:G28,"&lt;6")</f>
        <v>0</v>
      </c>
      <c r="H32" s="8" t="s">
        <v>57</v>
      </c>
    </row>
    <row r="35" spans="1:8" ht="21" x14ac:dyDescent="0.25">
      <c r="A35" s="13" t="s">
        <v>58</v>
      </c>
      <c r="B35" s="13"/>
      <c r="C35" s="13"/>
      <c r="D35" s="13"/>
      <c r="E35" s="13"/>
      <c r="F35" s="13"/>
      <c r="G35" s="13"/>
      <c r="H35" s="13"/>
    </row>
    <row r="36" spans="1:8" ht="21" x14ac:dyDescent="0.25">
      <c r="A36" s="1" t="s">
        <v>63</v>
      </c>
    </row>
    <row r="37" spans="1:8" ht="21.6" thickBot="1" x14ac:dyDescent="0.3">
      <c r="A37" s="1" t="s">
        <v>11</v>
      </c>
    </row>
    <row r="38" spans="1:8" ht="28.2" thickBot="1" x14ac:dyDescent="0.3">
      <c r="A38" s="2" t="s">
        <v>1</v>
      </c>
      <c r="B38" s="14" t="s">
        <v>2</v>
      </c>
      <c r="C38" s="16"/>
      <c r="D38" s="3" t="s">
        <v>59</v>
      </c>
      <c r="E38" s="3" t="s">
        <v>60</v>
      </c>
      <c r="F38" s="3" t="s">
        <v>61</v>
      </c>
      <c r="G38" s="3" t="s">
        <v>6</v>
      </c>
      <c r="H38" s="3" t="s">
        <v>62</v>
      </c>
    </row>
    <row r="39" spans="1:8" ht="21.6" thickBot="1" x14ac:dyDescent="0.3">
      <c r="A39" s="4">
        <v>1</v>
      </c>
      <c r="B39" s="6" t="s">
        <v>12</v>
      </c>
      <c r="C39" s="7" t="s">
        <v>13</v>
      </c>
      <c r="D39" s="9">
        <v>3</v>
      </c>
      <c r="E39" s="9">
        <v>3</v>
      </c>
      <c r="F39" s="9">
        <v>3</v>
      </c>
      <c r="G39" s="9">
        <f>SUM(D39:F39)</f>
        <v>9</v>
      </c>
      <c r="H39" s="5"/>
    </row>
    <row r="40" spans="1:8" ht="21.6" thickBot="1" x14ac:dyDescent="0.3">
      <c r="A40" s="4">
        <v>2</v>
      </c>
      <c r="B40" s="6" t="s">
        <v>14</v>
      </c>
      <c r="C40" s="7" t="s">
        <v>15</v>
      </c>
      <c r="D40" s="9">
        <v>3</v>
      </c>
      <c r="E40" s="9">
        <v>3</v>
      </c>
      <c r="F40" s="9">
        <v>3</v>
      </c>
      <c r="G40" s="9">
        <f t="shared" ref="G40:G62" si="2">SUM(D40:F40)</f>
        <v>9</v>
      </c>
      <c r="H40" s="5"/>
    </row>
    <row r="41" spans="1:8" ht="21.6" thickBot="1" x14ac:dyDescent="0.3">
      <c r="A41" s="4">
        <v>3</v>
      </c>
      <c r="B41" s="6" t="s">
        <v>16</v>
      </c>
      <c r="C41" s="7" t="s">
        <v>17</v>
      </c>
      <c r="D41" s="9">
        <v>3</v>
      </c>
      <c r="E41" s="9">
        <v>3</v>
      </c>
      <c r="F41" s="9">
        <v>3</v>
      </c>
      <c r="G41" s="9">
        <f t="shared" si="2"/>
        <v>9</v>
      </c>
      <c r="H41" s="5"/>
    </row>
    <row r="42" spans="1:8" ht="21.6" thickBot="1" x14ac:dyDescent="0.3">
      <c r="A42" s="4">
        <v>4</v>
      </c>
      <c r="B42" s="6" t="s">
        <v>18</v>
      </c>
      <c r="C42" s="7" t="s">
        <v>19</v>
      </c>
      <c r="D42" s="9">
        <v>2</v>
      </c>
      <c r="E42" s="9">
        <v>2</v>
      </c>
      <c r="F42" s="9">
        <v>2</v>
      </c>
      <c r="G42" s="9">
        <f t="shared" si="2"/>
        <v>6</v>
      </c>
      <c r="H42" s="5"/>
    </row>
    <row r="43" spans="1:8" ht="21.6" thickBot="1" x14ac:dyDescent="0.3">
      <c r="A43" s="4">
        <v>5</v>
      </c>
      <c r="B43" s="6" t="s">
        <v>20</v>
      </c>
      <c r="C43" s="7" t="s">
        <v>21</v>
      </c>
      <c r="D43" s="9">
        <v>3</v>
      </c>
      <c r="E43" s="9">
        <v>3</v>
      </c>
      <c r="F43" s="9">
        <v>3</v>
      </c>
      <c r="G43" s="9">
        <f t="shared" si="2"/>
        <v>9</v>
      </c>
      <c r="H43" s="5"/>
    </row>
    <row r="44" spans="1:8" ht="21.6" thickBot="1" x14ac:dyDescent="0.3">
      <c r="A44" s="4">
        <v>6</v>
      </c>
      <c r="B44" s="6" t="s">
        <v>22</v>
      </c>
      <c r="C44" s="7" t="s">
        <v>23</v>
      </c>
      <c r="D44" s="9">
        <v>2</v>
      </c>
      <c r="E44" s="9">
        <v>3</v>
      </c>
      <c r="F44" s="9">
        <v>2</v>
      </c>
      <c r="G44" s="9">
        <f t="shared" si="2"/>
        <v>7</v>
      </c>
      <c r="H44" s="5"/>
    </row>
    <row r="45" spans="1:8" ht="21.6" thickBot="1" x14ac:dyDescent="0.3">
      <c r="A45" s="4">
        <v>7</v>
      </c>
      <c r="B45" s="6" t="s">
        <v>24</v>
      </c>
      <c r="C45" s="7" t="s">
        <v>25</v>
      </c>
      <c r="D45" s="9">
        <v>3</v>
      </c>
      <c r="E45" s="9">
        <v>3</v>
      </c>
      <c r="F45" s="9">
        <v>3</v>
      </c>
      <c r="G45" s="9">
        <f t="shared" si="2"/>
        <v>9</v>
      </c>
      <c r="H45" s="5"/>
    </row>
    <row r="46" spans="1:8" ht="21.6" thickBot="1" x14ac:dyDescent="0.3">
      <c r="A46" s="4">
        <v>8</v>
      </c>
      <c r="B46" s="6" t="s">
        <v>26</v>
      </c>
      <c r="C46" s="7" t="s">
        <v>23</v>
      </c>
      <c r="D46" s="9">
        <v>3</v>
      </c>
      <c r="E46" s="9">
        <v>3</v>
      </c>
      <c r="F46" s="9">
        <v>3</v>
      </c>
      <c r="G46" s="9">
        <f t="shared" si="2"/>
        <v>9</v>
      </c>
      <c r="H46" s="5"/>
    </row>
    <row r="47" spans="1:8" ht="21.6" thickBot="1" x14ac:dyDescent="0.3">
      <c r="A47" s="4">
        <v>9</v>
      </c>
      <c r="B47" s="6" t="s">
        <v>27</v>
      </c>
      <c r="C47" s="7" t="s">
        <v>23</v>
      </c>
      <c r="D47" s="9">
        <v>3</v>
      </c>
      <c r="E47" s="9">
        <v>3</v>
      </c>
      <c r="F47" s="9">
        <v>3</v>
      </c>
      <c r="G47" s="9">
        <f t="shared" si="2"/>
        <v>9</v>
      </c>
      <c r="H47" s="5"/>
    </row>
    <row r="48" spans="1:8" ht="21.6" thickBot="1" x14ac:dyDescent="0.3">
      <c r="A48" s="4">
        <v>10</v>
      </c>
      <c r="B48" s="6" t="s">
        <v>28</v>
      </c>
      <c r="C48" s="7" t="s">
        <v>29</v>
      </c>
      <c r="D48" s="9">
        <v>3</v>
      </c>
      <c r="E48" s="9">
        <v>2</v>
      </c>
      <c r="F48" s="9">
        <v>3</v>
      </c>
      <c r="G48" s="9">
        <f t="shared" si="2"/>
        <v>8</v>
      </c>
      <c r="H48" s="5"/>
    </row>
    <row r="49" spans="1:8" ht="21.6" thickBot="1" x14ac:dyDescent="0.3">
      <c r="A49" s="4">
        <v>11</v>
      </c>
      <c r="B49" s="6" t="s">
        <v>30</v>
      </c>
      <c r="C49" s="7" t="s">
        <v>31</v>
      </c>
      <c r="D49" s="9">
        <v>3</v>
      </c>
      <c r="E49" s="9">
        <v>2</v>
      </c>
      <c r="F49" s="9">
        <v>3</v>
      </c>
      <c r="G49" s="9">
        <f t="shared" si="2"/>
        <v>8</v>
      </c>
      <c r="H49" s="5"/>
    </row>
    <row r="50" spans="1:8" ht="21.6" thickBot="1" x14ac:dyDescent="0.3">
      <c r="A50" s="4">
        <v>12</v>
      </c>
      <c r="B50" s="6" t="s">
        <v>32</v>
      </c>
      <c r="C50" s="7" t="s">
        <v>33</v>
      </c>
      <c r="D50" s="9">
        <v>3</v>
      </c>
      <c r="E50" s="9">
        <v>2</v>
      </c>
      <c r="F50" s="9">
        <v>3</v>
      </c>
      <c r="G50" s="9">
        <f t="shared" si="2"/>
        <v>8</v>
      </c>
      <c r="H50" s="5"/>
    </row>
    <row r="51" spans="1:8" ht="21.6" thickBot="1" x14ac:dyDescent="0.3">
      <c r="A51" s="4">
        <v>13</v>
      </c>
      <c r="B51" s="6" t="s">
        <v>34</v>
      </c>
      <c r="C51" s="7" t="s">
        <v>35</v>
      </c>
      <c r="D51" s="9">
        <v>3</v>
      </c>
      <c r="E51" s="9">
        <v>2</v>
      </c>
      <c r="F51" s="9">
        <v>3</v>
      </c>
      <c r="G51" s="9">
        <f t="shared" si="2"/>
        <v>8</v>
      </c>
      <c r="H51" s="5"/>
    </row>
    <row r="52" spans="1:8" ht="21.6" thickBot="1" x14ac:dyDescent="0.3">
      <c r="A52" s="4">
        <v>14</v>
      </c>
      <c r="B52" s="6" t="s">
        <v>36</v>
      </c>
      <c r="C52" s="7" t="s">
        <v>37</v>
      </c>
      <c r="D52" s="9">
        <v>3</v>
      </c>
      <c r="E52" s="9">
        <v>2</v>
      </c>
      <c r="F52" s="9">
        <v>2</v>
      </c>
      <c r="G52" s="9">
        <f t="shared" si="2"/>
        <v>7</v>
      </c>
      <c r="H52" s="5"/>
    </row>
    <row r="53" spans="1:8" ht="21.6" thickBot="1" x14ac:dyDescent="0.3">
      <c r="A53" s="4">
        <v>15</v>
      </c>
      <c r="B53" s="6" t="s">
        <v>38</v>
      </c>
      <c r="C53" s="7" t="s">
        <v>39</v>
      </c>
      <c r="D53" s="9">
        <v>3</v>
      </c>
      <c r="E53" s="9">
        <v>3</v>
      </c>
      <c r="F53" s="9">
        <v>3</v>
      </c>
      <c r="G53" s="9">
        <f t="shared" si="2"/>
        <v>9</v>
      </c>
      <c r="H53" s="5"/>
    </row>
    <row r="54" spans="1:8" ht="21.6" thickBot="1" x14ac:dyDescent="0.3">
      <c r="A54" s="4">
        <v>16</v>
      </c>
      <c r="B54" s="6" t="s">
        <v>40</v>
      </c>
      <c r="C54" s="7" t="s">
        <v>41</v>
      </c>
      <c r="D54" s="9">
        <v>3</v>
      </c>
      <c r="E54" s="9">
        <v>2</v>
      </c>
      <c r="F54" s="9">
        <v>3</v>
      </c>
      <c r="G54" s="9">
        <f t="shared" si="2"/>
        <v>8</v>
      </c>
      <c r="H54" s="5"/>
    </row>
    <row r="55" spans="1:8" ht="21.6" thickBot="1" x14ac:dyDescent="0.3">
      <c r="A55" s="4">
        <v>17</v>
      </c>
      <c r="B55" s="6" t="s">
        <v>42</v>
      </c>
      <c r="C55" s="7" t="s">
        <v>43</v>
      </c>
      <c r="D55" s="9">
        <v>3</v>
      </c>
      <c r="E55" s="9">
        <v>3</v>
      </c>
      <c r="F55" s="9">
        <v>3</v>
      </c>
      <c r="G55" s="9">
        <f t="shared" si="2"/>
        <v>9</v>
      </c>
      <c r="H55" s="5"/>
    </row>
    <row r="56" spans="1:8" ht="21.6" thickBot="1" x14ac:dyDescent="0.3">
      <c r="A56" s="4">
        <v>18</v>
      </c>
      <c r="B56" s="6" t="s">
        <v>44</v>
      </c>
      <c r="C56" s="7" t="s">
        <v>45</v>
      </c>
      <c r="D56" s="9">
        <v>3</v>
      </c>
      <c r="E56" s="9">
        <v>3</v>
      </c>
      <c r="F56" s="9">
        <v>3</v>
      </c>
      <c r="G56" s="9">
        <f t="shared" si="2"/>
        <v>9</v>
      </c>
      <c r="H56" s="5"/>
    </row>
    <row r="57" spans="1:8" ht="21.6" thickBot="1" x14ac:dyDescent="0.3">
      <c r="A57" s="4">
        <v>19</v>
      </c>
      <c r="B57" s="6" t="s">
        <v>46</v>
      </c>
      <c r="C57" s="7" t="s">
        <v>47</v>
      </c>
      <c r="D57" s="9">
        <v>3</v>
      </c>
      <c r="E57" s="9">
        <v>3</v>
      </c>
      <c r="F57" s="9">
        <v>3</v>
      </c>
      <c r="G57" s="9">
        <f t="shared" si="2"/>
        <v>9</v>
      </c>
      <c r="H57" s="5"/>
    </row>
    <row r="58" spans="1:8" ht="21.6" thickBot="1" x14ac:dyDescent="0.3">
      <c r="A58" s="4">
        <v>20</v>
      </c>
      <c r="B58" s="6" t="s">
        <v>48</v>
      </c>
      <c r="C58" s="7" t="s">
        <v>23</v>
      </c>
      <c r="D58" s="9">
        <v>3</v>
      </c>
      <c r="E58" s="9">
        <v>2</v>
      </c>
      <c r="F58" s="9">
        <v>3</v>
      </c>
      <c r="G58" s="9">
        <f t="shared" si="2"/>
        <v>8</v>
      </c>
      <c r="H58" s="5"/>
    </row>
    <row r="59" spans="1:8" ht="21.6" thickBot="1" x14ac:dyDescent="0.3">
      <c r="A59" s="4">
        <v>21</v>
      </c>
      <c r="B59" s="6" t="s">
        <v>49</v>
      </c>
      <c r="C59" s="7"/>
      <c r="D59" s="9">
        <v>3</v>
      </c>
      <c r="E59" s="9">
        <v>2</v>
      </c>
      <c r="F59" s="9">
        <v>3</v>
      </c>
      <c r="G59" s="9">
        <f t="shared" si="2"/>
        <v>8</v>
      </c>
      <c r="H59" s="5"/>
    </row>
    <row r="60" spans="1:8" ht="21.6" thickBot="1" x14ac:dyDescent="0.3">
      <c r="A60" s="4">
        <v>22</v>
      </c>
      <c r="B60" s="6" t="s">
        <v>50</v>
      </c>
      <c r="C60" s="7" t="s">
        <v>51</v>
      </c>
      <c r="D60" s="9">
        <v>2</v>
      </c>
      <c r="E60" s="9">
        <v>3</v>
      </c>
      <c r="F60" s="9">
        <v>3</v>
      </c>
      <c r="G60" s="9">
        <f t="shared" si="2"/>
        <v>8</v>
      </c>
      <c r="H60" s="5"/>
    </row>
    <row r="61" spans="1:8" ht="21.6" thickBot="1" x14ac:dyDescent="0.3">
      <c r="A61" s="4">
        <v>23</v>
      </c>
      <c r="B61" s="6" t="s">
        <v>52</v>
      </c>
      <c r="C61" s="7" t="s">
        <v>53</v>
      </c>
      <c r="D61" s="9">
        <v>3</v>
      </c>
      <c r="E61" s="9">
        <v>2</v>
      </c>
      <c r="F61" s="9">
        <v>3</v>
      </c>
      <c r="G61" s="9">
        <f t="shared" si="2"/>
        <v>8</v>
      </c>
      <c r="H61" s="5"/>
    </row>
    <row r="62" spans="1:8" ht="21.6" thickBot="1" x14ac:dyDescent="0.3">
      <c r="A62" s="4">
        <v>24</v>
      </c>
      <c r="B62" s="6" t="s">
        <v>54</v>
      </c>
      <c r="C62" s="7" t="s">
        <v>55</v>
      </c>
      <c r="D62" s="9">
        <v>3</v>
      </c>
      <c r="E62" s="9">
        <v>3</v>
      </c>
      <c r="F62" s="9">
        <v>3</v>
      </c>
      <c r="G62" s="9">
        <f t="shared" si="2"/>
        <v>9</v>
      </c>
      <c r="H62" s="5"/>
    </row>
    <row r="63" spans="1:8" ht="21.6" customHeight="1" thickBot="1" x14ac:dyDescent="0.3">
      <c r="A63" s="14" t="s">
        <v>56</v>
      </c>
      <c r="B63" s="15"/>
      <c r="C63" s="16"/>
      <c r="D63" s="10">
        <f>AVERAGE(D39:D62)*100/3</f>
        <v>95.833333333333329</v>
      </c>
      <c r="E63" s="10">
        <f t="shared" ref="E63:F63" si="3">AVERAGE(E39:E62)*100/3</f>
        <v>86.111111111111128</v>
      </c>
      <c r="F63" s="10">
        <f t="shared" si="3"/>
        <v>95.833333333333329</v>
      </c>
      <c r="G63" s="10">
        <f>AVERAGE(G39:G62)*100/9</f>
        <v>92.592592592592595</v>
      </c>
      <c r="H63" s="5"/>
    </row>
    <row r="64" spans="1:8" ht="14.4" x14ac:dyDescent="0.25">
      <c r="A64" s="11"/>
      <c r="B64" s="11"/>
      <c r="C64" s="11"/>
      <c r="D64" s="11"/>
      <c r="E64" s="11"/>
      <c r="F64" s="11"/>
      <c r="G64" s="11"/>
      <c r="H64" s="11"/>
    </row>
    <row r="65" spans="1:1" ht="21" x14ac:dyDescent="0.25">
      <c r="A65" s="1"/>
    </row>
    <row r="66" spans="1:1" ht="21" x14ac:dyDescent="0.25">
      <c r="A66" s="12"/>
    </row>
    <row r="67" spans="1:1" ht="21" x14ac:dyDescent="0.25">
      <c r="A67" s="12"/>
    </row>
  </sheetData>
  <mergeCells count="9">
    <mergeCell ref="A35:H35"/>
    <mergeCell ref="A63:C63"/>
    <mergeCell ref="B38:C38"/>
    <mergeCell ref="A32:F32"/>
    <mergeCell ref="A1:H1"/>
    <mergeCell ref="A29:C29"/>
    <mergeCell ref="A30:F30"/>
    <mergeCell ref="A31:F31"/>
    <mergeCell ref="B4:C4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อภิรัตน์ เสาวภาคย์รัตนชาติ</dc:creator>
  <cp:lastModifiedBy>อภิรัตน์ เสาวภาคย์รัตนชาติ</cp:lastModifiedBy>
  <cp:lastPrinted>2025-07-29T08:03:12Z</cp:lastPrinted>
  <dcterms:created xsi:type="dcterms:W3CDTF">2025-07-29T05:41:17Z</dcterms:created>
  <dcterms:modified xsi:type="dcterms:W3CDTF">2026-10-01T12:23:28Z</dcterms:modified>
</cp:coreProperties>
</file>